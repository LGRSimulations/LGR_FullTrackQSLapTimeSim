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mn20mal_leeds_ac_uk/Documents/5th Year folder/Group Project/IPG_validation/IPG_data/"/>
    </mc:Choice>
  </mc:AlternateContent>
  <xr:revisionPtr revIDLastSave="332" documentId="8_{68329EFE-C9E6-4C2C-A334-F099D6CB737C}" xr6:coauthVersionLast="47" xr6:coauthVersionMax="47" xr10:uidLastSave="{708AA15A-1D1D-4A31-8175-CE5D0AC0A354}"/>
  <bookViews>
    <workbookView xWindow="-110" yWindow="-110" windowWidth="19420" windowHeight="10300" xr2:uid="{BAA0ACCA-32F9-44F1-B180-61DF9D724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9" i="1"/>
  <c r="G19" i="1" s="1"/>
  <c r="H19" i="1"/>
  <c r="I19" i="1" s="1"/>
  <c r="H18" i="1"/>
  <c r="I18" i="1" s="1"/>
  <c r="G18" i="1"/>
  <c r="H17" i="1"/>
  <c r="I17" i="1" s="1"/>
  <c r="F17" i="1"/>
  <c r="G17" i="1" s="1"/>
  <c r="H16" i="1"/>
  <c r="I16" i="1" s="1"/>
  <c r="F16" i="1"/>
  <c r="G16" i="1" s="1"/>
  <c r="H15" i="1"/>
  <c r="I15" i="1" s="1"/>
  <c r="F15" i="1"/>
  <c r="G15" i="1" s="1"/>
  <c r="H11" i="1"/>
  <c r="I11" i="1" s="1"/>
  <c r="F14" i="1"/>
  <c r="G14" i="1" s="1"/>
  <c r="F13" i="1"/>
  <c r="G13" i="1" s="1"/>
  <c r="F11" i="1"/>
  <c r="G11" i="1" s="1"/>
  <c r="F9" i="1"/>
  <c r="F10" i="1"/>
  <c r="C12" i="1"/>
  <c r="F12" i="1" s="1"/>
</calcChain>
</file>

<file path=xl/sharedStrings.xml><?xml version="1.0" encoding="utf-8"?>
<sst xmlns="http://schemas.openxmlformats.org/spreadsheetml/2006/main" count="48" uniqueCount="48">
  <si>
    <t>Test</t>
  </si>
  <si>
    <t>Lap Length [m]</t>
  </si>
  <si>
    <t>Notes</t>
  </si>
  <si>
    <t>LapTime [s]</t>
  </si>
  <si>
    <t>Point mass sim; vehicle model to replicate F24 with motor fitted in place of ICE</t>
  </si>
  <si>
    <t>FS_Endurance_ML_5, FSE_RearWheelDrive_ML_5, Vehicle model to replicate F24 with motor fitted in place of ICE, springs, dampers, aero all reflect F24. Generic kinematics and tyres applied Driver model adjustment experimentation, test5_data, IPG_coords_5</t>
  </si>
  <si>
    <t>FS_Endurance_ML_5, FSE_RearWheelDrive_ML_5, Vehicle model to replicate F24 with motor fitted in place of ICE, springs, dampers, aero all reflect F24. Generic kinematics and tyres applied. Basic driver adaptation tyres: Examples/FS_180_50R10, Race driver adaptation tyres: Examples/CONTINENTAL_FS_205_510_R13_100kPa</t>
  </si>
  <si>
    <t>FS_Endurance_ML_5, FSE_RearWheelDrive_ML_5, Vehicle model to replicate F24 with motor fitted in place of ICE, springs, dampers, aero all reflect F24. Generic kinematics and tyres applied. Basic driver adaptation tyres: Examples/FS_180_50R10, Race driver adaptation tyres: Examples/CONTINENTAL_FS_205_510_R13_100kPa - corner cut = 0</t>
  </si>
  <si>
    <t>FS_Endurance_ML_5, FSE_RearWheelDrive_ML_5, Vehicle model to replicate F24 with motor fitted in place of ICE, springs, dampers, aero all reflect F24. Generic kinematics and tyres applied. Basic driver adaptation tyres: Examples/FS_180_50R10, Race driver adaptation tyres: Examples/CONTINENTAL_FS_205_510_R13_100kPa - corner cut = 1.0</t>
  </si>
  <si>
    <t>IPG outputs checklist</t>
  </si>
  <si>
    <t>ax</t>
  </si>
  <si>
    <t>ay</t>
  </si>
  <si>
    <t>FxFL/FR/RL/RR</t>
  </si>
  <si>
    <t>FyFL/FR/RL/RR</t>
  </si>
  <si>
    <t>FzFL/FR/RL/RR</t>
  </si>
  <si>
    <t xml:space="preserve">Pitch </t>
  </si>
  <si>
    <t>Roll</t>
  </si>
  <si>
    <t>SlipAngleFL/FR/RL/RR</t>
  </si>
  <si>
    <t>TrackRadius</t>
  </si>
  <si>
    <t>tx</t>
  </si>
  <si>
    <t>ty</t>
  </si>
  <si>
    <t>vx</t>
  </si>
  <si>
    <t>vy</t>
  </si>
  <si>
    <t>YawRate</t>
  </si>
  <si>
    <t>Yaw</t>
  </si>
  <si>
    <t>Time</t>
  </si>
  <si>
    <t>Same as above - different gg exponents (as on RHS_1)</t>
  </si>
  <si>
    <t>Same as above - different gg exponents (as on RHS_2)</t>
  </si>
  <si>
    <t>gg Exponents_1</t>
  </si>
  <si>
    <t>gg Exponents_2</t>
  </si>
  <si>
    <t>Corner cut coeff = 1 (race driver), 0 (normal)</t>
  </si>
  <si>
    <t>Same as above, corner cut coeff = 0.2</t>
  </si>
  <si>
    <t>PM time [s]</t>
  </si>
  <si>
    <t>IPG simulation model</t>
  </si>
  <si>
    <t>Same as test 11, final drirve ratio set to 1 (1.8 overall)</t>
  </si>
  <si>
    <t>Same as 13, rear axle final drive set to 1.7, smoothing param = 0.02</t>
  </si>
  <si>
    <t>EBM time [s]</t>
  </si>
  <si>
    <t>PM Laptime delta [s]</t>
  </si>
  <si>
    <t>PM Laptime delta [%]</t>
  </si>
  <si>
    <t>EBM Laptime delta [s]</t>
  </si>
  <si>
    <t>EBM Laptime delta [%]</t>
  </si>
  <si>
    <t>Standard driver used, gg Exponents_2, corner cut coeff = 0.8 (SMOOTHING FACTOR IN MATLAB SIM set to 0.05); EBM model 1000 elements, tyre SF 0.5</t>
  </si>
  <si>
    <t>New driver model, CCC = 1</t>
  </si>
  <si>
    <t>FS_205_50R13 tyres</t>
  </si>
  <si>
    <t>Reduced deceleration (GGV) from -30 to -15, FS_180_50R10 tyres</t>
  </si>
  <si>
    <t>Continental FS_205_510R13 80kPa</t>
  </si>
  <si>
    <t>Continental FS_205_510R13 100kPa</t>
  </si>
  <si>
    <t>Test 18 selected validation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</si>
</sst>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3" xfId="0" applyBorder="1"/>
    <xf numFmtId="46" fontId="0" fillId="0" borderId="3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1" fillId="0" borderId="1" xfId="0" applyFont="1" applyBorder="1" applyAlignment="1">
      <alignment wrapText="1"/>
    </xf>
    <xf numFmtId="46" fontId="0" fillId="0" borderId="0" xfId="0" applyNumberFormat="1" applyAlignment="1">
      <alignment wrapText="1"/>
    </xf>
    <xf numFmtId="165" fontId="0" fillId="0" borderId="0" xfId="0" applyNumberFormat="1"/>
    <xf numFmtId="0" fontId="0" fillId="3" borderId="0" xfId="0" applyFill="1"/>
    <xf numFmtId="165" fontId="0" fillId="3" borderId="0" xfId="0" applyNumberFormat="1" applyFill="1"/>
    <xf numFmtId="0" fontId="0" fillId="3" borderId="0" xfId="0" applyFill="1" applyAlignment="1">
      <alignment wrapText="1"/>
    </xf>
    <xf numFmtId="164" fontId="0" fillId="3" borderId="0" xfId="1" applyNumberFormat="1" applyFont="1" applyFill="1" applyBorder="1"/>
    <xf numFmtId="164" fontId="0" fillId="0" borderId="0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FFFF"/>
      <color rgb="FF00D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BAF8-A92B-438C-80D1-67DFF45E8B29}">
  <dimension ref="A1:T21"/>
  <sheetViews>
    <sheetView tabSelected="1" topLeftCell="A12" zoomScale="115" zoomScaleNormal="115" workbookViewId="0">
      <selection activeCell="I21" sqref="I21"/>
    </sheetView>
  </sheetViews>
  <sheetFormatPr defaultRowHeight="14.5" x14ac:dyDescent="0.35"/>
  <cols>
    <col min="2" max="2" width="14.26953125" bestFit="1" customWidth="1"/>
    <col min="3" max="3" width="13.81640625" bestFit="1" customWidth="1"/>
    <col min="4" max="4" width="13.81640625" customWidth="1"/>
    <col min="5" max="5" width="11.453125" bestFit="1" customWidth="1"/>
    <col min="6" max="7" width="11.453125" customWidth="1"/>
    <col min="8" max="8" width="13" customWidth="1"/>
    <col min="9" max="9" width="13.453125" customWidth="1"/>
    <col min="10" max="10" width="52.26953125" style="2" customWidth="1"/>
    <col min="11" max="11" width="55.7265625" customWidth="1"/>
    <col min="12" max="12" width="20.453125" bestFit="1" customWidth="1"/>
    <col min="13" max="13" width="20.453125" customWidth="1"/>
  </cols>
  <sheetData>
    <row r="1" spans="1:20" x14ac:dyDescent="0.35">
      <c r="A1" s="1" t="s">
        <v>33</v>
      </c>
    </row>
    <row r="2" spans="1:20" x14ac:dyDescent="0.35">
      <c r="A2" s="1"/>
    </row>
    <row r="3" spans="1:20" ht="27.75" customHeight="1" x14ac:dyDescent="0.35">
      <c r="A3" s="3" t="s">
        <v>0</v>
      </c>
      <c r="B3" s="3" t="s">
        <v>1</v>
      </c>
      <c r="C3" s="4" t="s">
        <v>32</v>
      </c>
      <c r="D3" s="3" t="s">
        <v>36</v>
      </c>
      <c r="E3" s="3" t="s">
        <v>3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2</v>
      </c>
      <c r="K3" s="9"/>
      <c r="L3" s="1" t="s">
        <v>9</v>
      </c>
      <c r="M3" s="2" t="s">
        <v>30</v>
      </c>
      <c r="N3" t="s">
        <v>28</v>
      </c>
      <c r="R3" t="s">
        <v>29</v>
      </c>
    </row>
    <row r="4" spans="1:20" s="6" customFormat="1" ht="29" x14ac:dyDescent="0.35">
      <c r="A4" s="6">
        <v>1</v>
      </c>
      <c r="B4" s="6">
        <v>800</v>
      </c>
      <c r="C4" s="7"/>
      <c r="D4" s="7"/>
      <c r="E4" s="6">
        <v>95.2</v>
      </c>
      <c r="J4" s="8" t="s">
        <v>4</v>
      </c>
      <c r="K4" s="8"/>
      <c r="L4" s="6" t="s">
        <v>10</v>
      </c>
      <c r="N4" s="6">
        <v>10</v>
      </c>
      <c r="O4" s="6">
        <v>1</v>
      </c>
      <c r="P4" s="6">
        <v>1</v>
      </c>
      <c r="R4" s="6">
        <v>90</v>
      </c>
      <c r="S4" s="6">
        <v>2</v>
      </c>
      <c r="T4" s="6">
        <v>2</v>
      </c>
    </row>
    <row r="5" spans="1:20" ht="72.5" x14ac:dyDescent="0.35">
      <c r="A5">
        <v>5</v>
      </c>
      <c r="B5">
        <v>800</v>
      </c>
      <c r="C5" s="10"/>
      <c r="D5" s="10"/>
      <c r="J5" s="2" t="s">
        <v>5</v>
      </c>
      <c r="K5" s="2"/>
      <c r="L5" t="s">
        <v>11</v>
      </c>
      <c r="N5">
        <v>25</v>
      </c>
      <c r="O5">
        <v>1.25</v>
      </c>
      <c r="P5">
        <v>1.25</v>
      </c>
    </row>
    <row r="6" spans="1:20" ht="87" x14ac:dyDescent="0.35">
      <c r="A6">
        <v>6</v>
      </c>
      <c r="B6">
        <v>800</v>
      </c>
      <c r="C6" s="10"/>
      <c r="D6" s="10"/>
      <c r="E6">
        <v>59.706000000000003</v>
      </c>
      <c r="J6" s="2" t="s">
        <v>6</v>
      </c>
      <c r="K6" s="2"/>
      <c r="L6" t="s">
        <v>12</v>
      </c>
      <c r="N6">
        <v>50</v>
      </c>
      <c r="O6">
        <v>1.75</v>
      </c>
      <c r="P6">
        <v>1.75</v>
      </c>
    </row>
    <row r="7" spans="1:20" ht="101.5" x14ac:dyDescent="0.35">
      <c r="A7">
        <v>7</v>
      </c>
      <c r="B7">
        <v>800</v>
      </c>
      <c r="C7">
        <v>47.701999999999998</v>
      </c>
      <c r="J7" s="2" t="s">
        <v>7</v>
      </c>
      <c r="K7" s="2"/>
      <c r="L7" t="s">
        <v>13</v>
      </c>
      <c r="N7">
        <v>90</v>
      </c>
      <c r="O7">
        <v>2</v>
      </c>
      <c r="P7">
        <v>2</v>
      </c>
    </row>
    <row r="8" spans="1:20" ht="101.5" x14ac:dyDescent="0.35">
      <c r="A8">
        <v>8</v>
      </c>
      <c r="B8">
        <v>800</v>
      </c>
      <c r="C8">
        <v>46.863999999999997</v>
      </c>
      <c r="F8" s="11"/>
      <c r="G8" s="11"/>
      <c r="H8" s="11"/>
      <c r="I8" s="11"/>
      <c r="J8" s="2" t="s">
        <v>8</v>
      </c>
      <c r="K8" s="2"/>
      <c r="L8" t="s">
        <v>14</v>
      </c>
    </row>
    <row r="9" spans="1:20" x14ac:dyDescent="0.35">
      <c r="A9">
        <v>9</v>
      </c>
      <c r="B9">
        <v>800</v>
      </c>
      <c r="C9">
        <v>47.082999999999998</v>
      </c>
      <c r="E9">
        <v>61.307000000000002</v>
      </c>
      <c r="F9" s="11">
        <f t="shared" ref="F9:F11" si="0">E9-C9</f>
        <v>14.224000000000004</v>
      </c>
      <c r="G9" s="11"/>
      <c r="H9" s="11"/>
      <c r="I9" s="11"/>
      <c r="J9" s="2" t="s">
        <v>26</v>
      </c>
      <c r="K9" s="2"/>
      <c r="L9" t="s">
        <v>15</v>
      </c>
    </row>
    <row r="10" spans="1:20" x14ac:dyDescent="0.35">
      <c r="A10">
        <v>10</v>
      </c>
      <c r="B10">
        <v>800</v>
      </c>
      <c r="C10" s="11">
        <v>47.21</v>
      </c>
      <c r="D10" s="11"/>
      <c r="E10">
        <v>61.926000000000002</v>
      </c>
      <c r="F10" s="11">
        <f t="shared" si="0"/>
        <v>14.716000000000001</v>
      </c>
      <c r="G10" s="11"/>
      <c r="H10" s="11"/>
      <c r="I10" s="11"/>
      <c r="J10" s="2" t="s">
        <v>27</v>
      </c>
      <c r="K10" s="2"/>
      <c r="L10" t="s">
        <v>16</v>
      </c>
    </row>
    <row r="11" spans="1:20" ht="43.5" x14ac:dyDescent="0.35">
      <c r="A11" s="12">
        <v>11</v>
      </c>
      <c r="B11" s="12">
        <v>800</v>
      </c>
      <c r="C11" s="13">
        <v>48.26</v>
      </c>
      <c r="D11" s="12">
        <v>61.146000000000001</v>
      </c>
      <c r="E11" s="12">
        <v>64.209000000000003</v>
      </c>
      <c r="F11" s="13">
        <f t="shared" si="0"/>
        <v>15.949000000000005</v>
      </c>
      <c r="G11" s="15">
        <f>F11/E11</f>
        <v>0.24839196997305679</v>
      </c>
      <c r="H11" s="13">
        <f>E11-D11</f>
        <v>3.0630000000000024</v>
      </c>
      <c r="I11" s="15">
        <f>H11/E11</f>
        <v>4.7703592954258786E-2</v>
      </c>
      <c r="J11" s="14" t="s">
        <v>41</v>
      </c>
      <c r="L11" t="s">
        <v>17</v>
      </c>
    </row>
    <row r="12" spans="1:20" x14ac:dyDescent="0.35">
      <c r="A12">
        <v>12</v>
      </c>
      <c r="B12">
        <v>800</v>
      </c>
      <c r="C12" s="2">
        <f>49.652</f>
        <v>49.652000000000001</v>
      </c>
      <c r="D12" s="2"/>
      <c r="E12" s="11">
        <v>68.11</v>
      </c>
      <c r="F12" s="11">
        <f>E12-C12</f>
        <v>18.457999999999998</v>
      </c>
      <c r="G12" s="11"/>
      <c r="H12" s="11"/>
      <c r="I12" s="16"/>
      <c r="J12" s="2" t="s">
        <v>31</v>
      </c>
      <c r="L12" t="s">
        <v>18</v>
      </c>
    </row>
    <row r="13" spans="1:20" x14ac:dyDescent="0.35">
      <c r="A13">
        <v>13</v>
      </c>
      <c r="B13">
        <v>800</v>
      </c>
      <c r="C13">
        <v>48.408999999999999</v>
      </c>
      <c r="E13">
        <v>68.384</v>
      </c>
      <c r="F13" s="11">
        <f t="shared" ref="F13:F14" si="1">E13-C13</f>
        <v>19.975000000000001</v>
      </c>
      <c r="G13" s="16">
        <f t="shared" ref="G13:G19" si="2">F13/E13</f>
        <v>0.29210049134300425</v>
      </c>
      <c r="H13" s="11"/>
      <c r="I13" s="16"/>
      <c r="J13" s="2" t="s">
        <v>34</v>
      </c>
      <c r="L13" t="s">
        <v>19</v>
      </c>
    </row>
    <row r="14" spans="1:20" ht="29" x14ac:dyDescent="0.35">
      <c r="A14">
        <v>14</v>
      </c>
      <c r="B14">
        <v>800</v>
      </c>
      <c r="C14">
        <v>48.268999999999998</v>
      </c>
      <c r="E14">
        <v>64.513999999999996</v>
      </c>
      <c r="F14" s="11">
        <f t="shared" si="1"/>
        <v>16.244999999999997</v>
      </c>
      <c r="G14" s="16">
        <f t="shared" si="2"/>
        <v>0.2518058095917165</v>
      </c>
      <c r="H14" s="11"/>
      <c r="I14" s="16"/>
      <c r="J14" s="2" t="s">
        <v>35</v>
      </c>
      <c r="L14" t="s">
        <v>20</v>
      </c>
    </row>
    <row r="15" spans="1:20" x14ac:dyDescent="0.35">
      <c r="A15">
        <v>15</v>
      </c>
      <c r="B15">
        <v>800</v>
      </c>
      <c r="C15">
        <v>48.378</v>
      </c>
      <c r="D15">
        <v>63.241</v>
      </c>
      <c r="E15">
        <v>67.897000000000006</v>
      </c>
      <c r="F15" s="11">
        <f t="shared" ref="F15" si="3">E15-C15</f>
        <v>19.519000000000005</v>
      </c>
      <c r="G15" s="16">
        <f t="shared" si="2"/>
        <v>0.28747956463466728</v>
      </c>
      <c r="H15" s="11">
        <f t="shared" ref="H15" si="4">E15-D15</f>
        <v>4.6560000000000059</v>
      </c>
      <c r="I15" s="16">
        <f t="shared" ref="I15" si="5">H15/E15</f>
        <v>6.8574458370767574E-2</v>
      </c>
      <c r="J15" s="2" t="s">
        <v>42</v>
      </c>
      <c r="L15" t="s">
        <v>21</v>
      </c>
    </row>
    <row r="16" spans="1:20" ht="29" x14ac:dyDescent="0.35">
      <c r="A16">
        <v>16</v>
      </c>
      <c r="B16">
        <v>800</v>
      </c>
      <c r="C16">
        <v>48.606999999999999</v>
      </c>
      <c r="D16">
        <v>64.534000000000006</v>
      </c>
      <c r="E16">
        <v>68.762</v>
      </c>
      <c r="F16" s="11">
        <f t="shared" ref="F16" si="6">E16-C16</f>
        <v>20.155000000000001</v>
      </c>
      <c r="G16" s="16">
        <f t="shared" si="2"/>
        <v>0.29311247491346964</v>
      </c>
      <c r="H16" s="11">
        <f>E16-D16</f>
        <v>4.2279999999999944</v>
      </c>
      <c r="I16" s="16">
        <f t="shared" ref="I16" si="7">H16/E16</f>
        <v>6.148744946336631E-2</v>
      </c>
      <c r="J16" s="2" t="s">
        <v>44</v>
      </c>
      <c r="L16" t="s">
        <v>22</v>
      </c>
    </row>
    <row r="17" spans="1:12" x14ac:dyDescent="0.35">
      <c r="A17">
        <v>17</v>
      </c>
      <c r="B17">
        <v>800</v>
      </c>
      <c r="D17">
        <v>63.47</v>
      </c>
      <c r="E17">
        <v>70.194999999999993</v>
      </c>
      <c r="F17" s="11">
        <f t="shared" ref="F17" si="8">E17-C17</f>
        <v>70.194999999999993</v>
      </c>
      <c r="G17" s="16">
        <f t="shared" si="2"/>
        <v>1</v>
      </c>
      <c r="H17" s="11">
        <f>E17-D17</f>
        <v>6.7249999999999943</v>
      </c>
      <c r="I17" s="16">
        <f t="shared" ref="I17:I18" si="9">H17/E17</f>
        <v>9.5804544483225229E-2</v>
      </c>
      <c r="J17" s="2" t="s">
        <v>43</v>
      </c>
      <c r="L17" t="s">
        <v>24</v>
      </c>
    </row>
    <row r="18" spans="1:12" s="12" customFormat="1" x14ac:dyDescent="0.35">
      <c r="A18" s="12">
        <v>18</v>
      </c>
      <c r="B18" s="12">
        <v>800</v>
      </c>
      <c r="C18" s="12">
        <v>48.518000000000001</v>
      </c>
      <c r="D18" s="13">
        <v>63.17</v>
      </c>
      <c r="E18" s="12">
        <v>68.566000000000003</v>
      </c>
      <c r="F18" s="13">
        <f>E18-C18</f>
        <v>20.048000000000002</v>
      </c>
      <c r="G18" s="15">
        <f t="shared" si="2"/>
        <v>0.2923898141936237</v>
      </c>
      <c r="H18" s="13">
        <f>E18-D18</f>
        <v>5.3960000000000008</v>
      </c>
      <c r="I18" s="15">
        <f t="shared" si="9"/>
        <v>7.8697896916839261E-2</v>
      </c>
      <c r="J18" s="14" t="s">
        <v>45</v>
      </c>
      <c r="L18" s="12" t="s">
        <v>23</v>
      </c>
    </row>
    <row r="19" spans="1:12" x14ac:dyDescent="0.35">
      <c r="A19">
        <v>19</v>
      </c>
      <c r="B19">
        <v>800</v>
      </c>
      <c r="D19">
        <v>63.292999999999999</v>
      </c>
      <c r="E19" s="11">
        <v>68.569999999999993</v>
      </c>
      <c r="F19" s="11">
        <f t="shared" ref="F19" si="10">E19-C19</f>
        <v>68.569999999999993</v>
      </c>
      <c r="G19" s="16">
        <f t="shared" si="2"/>
        <v>1</v>
      </c>
      <c r="H19" s="11">
        <f>E19-D19</f>
        <v>5.2769999999999939</v>
      </c>
      <c r="I19" s="16">
        <f t="shared" ref="I19" si="11">H19/E19</f>
        <v>7.6957853288610101E-2</v>
      </c>
      <c r="J19" s="2" t="s">
        <v>46</v>
      </c>
      <c r="L19" t="s">
        <v>25</v>
      </c>
    </row>
    <row r="20" spans="1:12" x14ac:dyDescent="0.35">
      <c r="F20" s="11"/>
      <c r="G20" s="16"/>
      <c r="H20" s="11"/>
      <c r="I20" s="16"/>
    </row>
    <row r="21" spans="1:12" x14ac:dyDescent="0.35">
      <c r="A21" t="s">
        <v>47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5003C27F27954184C9394136F8D9E9" ma:contentTypeVersion="20" ma:contentTypeDescription="Create a new document." ma:contentTypeScope="" ma:versionID="8fd176c3004f6e269ef037c905600068">
  <xsd:schema xmlns:xsd="http://www.w3.org/2001/XMLSchema" xmlns:xs="http://www.w3.org/2001/XMLSchema" xmlns:p="http://schemas.microsoft.com/office/2006/metadata/properties" xmlns:ns2="51e4dc7c-6d56-4d04-a9e5-38f861334647" xmlns:ns3="87fbc3c9-055d-4b4e-9dcb-9376ac815f75" targetNamespace="http://schemas.microsoft.com/office/2006/metadata/properties" ma:root="true" ma:fieldsID="fbe313b033b951583f18a9af9eeb1b8b" ns2:_="" ns3:_="">
    <xsd:import namespace="51e4dc7c-6d56-4d04-a9e5-38f861334647"/>
    <xsd:import namespace="87fbc3c9-055d-4b4e-9dcb-9376ac815f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Whatyouwan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dc7c-6d56-4d04-a9e5-38f861334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3a19cb6-1b10-4512-a12b-f76e45842a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Whatyouwant" ma:index="26" nillable="true" ma:displayName="What you want" ma:format="Dropdown" ma:internalName="Whatyouwant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bc3c9-055d-4b4e-9dcb-9376ac815f7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a557c4c-4b1f-4b4b-affa-1ee03e6de87f}" ma:internalName="TaxCatchAll" ma:showField="CatchAllData" ma:web="87fbc3c9-055d-4b4e-9dcb-9376ac815f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e4dc7c-6d56-4d04-a9e5-38f861334647">
      <Terms xmlns="http://schemas.microsoft.com/office/infopath/2007/PartnerControls"/>
    </lcf76f155ced4ddcb4097134ff3c332f>
    <Whatyouwant xmlns="51e4dc7c-6d56-4d04-a9e5-38f861334647" xsi:nil="true"/>
    <TaxCatchAll xmlns="87fbc3c9-055d-4b4e-9dcb-9376ac815f75" xsi:nil="true"/>
  </documentManagement>
</p:properties>
</file>

<file path=customXml/itemProps1.xml><?xml version="1.0" encoding="utf-8"?>
<ds:datastoreItem xmlns:ds="http://schemas.openxmlformats.org/officeDocument/2006/customXml" ds:itemID="{FE89D5C6-A00B-4E55-8F02-A2DBA522CF61}"/>
</file>

<file path=customXml/itemProps2.xml><?xml version="1.0" encoding="utf-8"?>
<ds:datastoreItem xmlns:ds="http://schemas.openxmlformats.org/officeDocument/2006/customXml" ds:itemID="{9E194563-6DED-4938-BE45-9863458BFD62}"/>
</file>

<file path=customXml/itemProps3.xml><?xml version="1.0" encoding="utf-8"?>
<ds:datastoreItem xmlns:ds="http://schemas.openxmlformats.org/officeDocument/2006/customXml" ds:itemID="{3C8BFC82-8822-46F1-BE9A-A6F9EC2B04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Leo [mn20mal]</dc:creator>
  <cp:lastModifiedBy>Michael Leo [mn20mal]</cp:lastModifiedBy>
  <dcterms:created xsi:type="dcterms:W3CDTF">2025-03-03T15:52:18Z</dcterms:created>
  <dcterms:modified xsi:type="dcterms:W3CDTF">2025-04-27T09:35:06Z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0x010100FB5003C27F27954184C9394136F8D9E9</vt:lpwstr>
  </property>
</Properties>
</file>